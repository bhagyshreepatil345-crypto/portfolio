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gy\OneDrive\Documents\"/>
    </mc:Choice>
  </mc:AlternateContent>
  <xr:revisionPtr revIDLastSave="0" documentId="13_ncr:1_{B83B0A32-5DB6-493B-92A5-0175D8CD22DF}" xr6:coauthVersionLast="47" xr6:coauthVersionMax="47" xr10:uidLastSave="{00000000-0000-0000-0000-000000000000}"/>
  <bookViews>
    <workbookView xWindow="-120" yWindow="-120" windowWidth="20730" windowHeight="11040" xr2:uid="{15D23A5A-9579-43C6-A3A5-70AE0BFBF47E}"/>
  </bookViews>
  <sheets>
    <sheet name="STUDENT 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2" i="1"/>
  <c r="M3" i="1"/>
  <c r="M4" i="1"/>
  <c r="M5" i="1"/>
  <c r="M6" i="1"/>
  <c r="M7" i="1"/>
  <c r="M8" i="1"/>
  <c r="M2" i="1"/>
  <c r="L3" i="1"/>
  <c r="L4" i="1"/>
  <c r="L5" i="1"/>
  <c r="L6" i="1"/>
  <c r="L7" i="1"/>
  <c r="L8" i="1"/>
  <c r="L2" i="1"/>
  <c r="H3" i="1"/>
  <c r="H4" i="1"/>
  <c r="H5" i="1"/>
  <c r="H6" i="1"/>
  <c r="H7" i="1"/>
  <c r="H8" i="1"/>
  <c r="H2" i="1"/>
  <c r="J3" i="1"/>
  <c r="J4" i="1"/>
  <c r="J5" i="1"/>
  <c r="J6" i="1"/>
  <c r="J7" i="1"/>
  <c r="J8" i="1"/>
  <c r="J2" i="1"/>
  <c r="I3" i="1"/>
  <c r="I4" i="1"/>
  <c r="I5" i="1"/>
  <c r="I6" i="1"/>
  <c r="I7" i="1"/>
  <c r="I8" i="1"/>
  <c r="I2" i="1"/>
  <c r="G3" i="1"/>
  <c r="G4" i="1"/>
  <c r="G5" i="1"/>
  <c r="G6" i="1"/>
  <c r="G7" i="1"/>
  <c r="G8" i="1"/>
  <c r="G2" i="1"/>
  <c r="F3" i="1"/>
  <c r="K3" i="1" s="1"/>
  <c r="F4" i="1"/>
  <c r="K4" i="1" s="1"/>
  <c r="F5" i="1"/>
  <c r="K5" i="1" s="1"/>
  <c r="F6" i="1"/>
  <c r="K6" i="1" s="1"/>
  <c r="F7" i="1"/>
  <c r="K7" i="1" s="1"/>
  <c r="F8" i="1"/>
  <c r="K8" i="1" s="1"/>
  <c r="F2" i="1"/>
  <c r="K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Bhagyashree Patil</author>
  </authors>
  <commentList>
    <comment ref="O5" authorId="0" shapeId="0" xr:uid="{1E470A90-9047-4F30-B8D4-6ED759C9C0F2}">
      <text>
        <r>
          <rPr>
            <b/>
            <sz val="9"/>
            <color indexed="81"/>
            <rFont val="Tahoma"/>
            <family val="2"/>
          </rPr>
          <t>Bhagyashree Patil: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<sst xmlns="http://schemas.openxmlformats.org/spreadsheetml/2006/main" count="23" uniqueCount="23">
  <si>
    <t>SR NO</t>
  </si>
  <si>
    <t>NAME OF STUDENT</t>
  </si>
  <si>
    <t>SUB 1</t>
  </si>
  <si>
    <t>SUB2</t>
  </si>
  <si>
    <t>SUB3</t>
  </si>
  <si>
    <t>TOTAL</t>
  </si>
  <si>
    <t>A</t>
  </si>
  <si>
    <t>B</t>
  </si>
  <si>
    <t>C</t>
  </si>
  <si>
    <t>D</t>
  </si>
  <si>
    <t>E</t>
  </si>
  <si>
    <t>F</t>
  </si>
  <si>
    <t>G</t>
  </si>
  <si>
    <t>COUNT</t>
  </si>
  <si>
    <t>AVG</t>
  </si>
  <si>
    <t>MIN</t>
  </si>
  <si>
    <t>MAX</t>
  </si>
  <si>
    <t>%AGE</t>
  </si>
  <si>
    <t>RESULT OR</t>
  </si>
  <si>
    <t>RESULT AND</t>
  </si>
  <si>
    <t>number</t>
  </si>
  <si>
    <t>q</t>
  </si>
  <si>
    <t>bar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</si>
</sst>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Libre barcode 39 tex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IA Code 39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28BD-3008-4505-A5C2-46ED58D70485}">
  <sheetPr>
    <tabColor rgb="FFFFC000"/>
  </sheetPr>
  <dimension ref="A1:P8"/>
  <sheetViews>
    <sheetView tabSelected="1" topLeftCell="C1" zoomScale="107" zoomScaleNormal="86" workbookViewId="0">
      <selection activeCell="O2" sqref="O2:O4"/>
    </sheetView>
  </sheetViews>
  <sheetFormatPr defaultRowHeight="15"/>
  <cols>
    <col min="1" max="1" width="9.42578125" customWidth="1"/>
    <col min="2" max="2" width="17.7109375" bestFit="1" customWidth="1"/>
    <col min="8" max="8" width="10" customWidth="1"/>
    <col min="12" max="12" width="11.140625" customWidth="1"/>
    <col min="13" max="13" width="11.7109375" bestFit="1" customWidth="1"/>
    <col min="14" max="14" width="14.5703125" customWidth="1"/>
    <col min="15" max="15" width="1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22</v>
      </c>
      <c r="P1" t="s">
        <v>21</v>
      </c>
    </row>
    <row r="2" spans="1:16">
      <c r="A2">
        <v>1</v>
      </c>
      <c r="B2" t="s">
        <v>6</v>
      </c>
      <c r="C2">
        <v>59</v>
      </c>
      <c r="D2">
        <v>59</v>
      </c>
      <c r="E2">
        <v>59</v>
      </c>
      <c r="F2">
        <f>SUM(C2:E2)</f>
        <v>177</v>
      </c>
      <c r="G2">
        <f>COUNT(C2:E2)</f>
        <v>3</v>
      </c>
      <c r="H2" s="2">
        <f>AVERAGE(C2:E2)</f>
        <v>59</v>
      </c>
      <c r="I2">
        <f>MIN(C2:E2)</f>
        <v>59</v>
      </c>
      <c r="J2">
        <f>MAX(C2:E2)</f>
        <v>59</v>
      </c>
      <c r="K2" s="1">
        <f>F2/300*100</f>
        <v>59</v>
      </c>
      <c r="L2" t="str">
        <f>IF(OR(C2&lt;35,D2&lt;35,E2&lt;35),"FAIL","PASS")</f>
        <v>PASS</v>
      </c>
      <c r="M2" t="str">
        <f>IF(AND(C2&gt;=35,D2&gt;=35,E2&gt;=35),"PASS","FAIL")</f>
        <v>PASS</v>
      </c>
      <c r="N2">
        <v>6005485875</v>
      </c>
      <c r="O2" s="4" t="str">
        <f>"*"&amp;N2&amp;"*"</f>
        <v>*6005485875*</v>
      </c>
    </row>
    <row r="3" spans="1:16">
      <c r="A3">
        <v>2</v>
      </c>
      <c r="B3" t="s">
        <v>7</v>
      </c>
      <c r="C3">
        <v>57</v>
      </c>
      <c r="D3">
        <v>62</v>
      </c>
      <c r="E3">
        <v>38</v>
      </c>
      <c r="F3">
        <f t="shared" ref="F3:F8" si="0">SUM(C3:E3)</f>
        <v>157</v>
      </c>
      <c r="G3">
        <f t="shared" ref="G3:G8" si="1">COUNT(C3:E3)</f>
        <v>3</v>
      </c>
      <c r="H3" s="2">
        <f t="shared" ref="H3:H8" si="2">AVERAGE(C3:E3)</f>
        <v>52.333333333333336</v>
      </c>
      <c r="I3">
        <f>MIN(C3:E3)</f>
        <v>38</v>
      </c>
      <c r="J3">
        <f t="shared" ref="J3:J8" si="3">MAX(C3:E3)</f>
        <v>62</v>
      </c>
      <c r="K3" s="1">
        <f t="shared" ref="K3:K8" si="4">F3/300*100</f>
        <v>52.333333333333329</v>
      </c>
      <c r="L3" t="str">
        <f t="shared" ref="L3:L8" si="5">IF(OR(C3&lt;35,D3&lt;35,E3&lt;35),"FAIL","PASS")</f>
        <v>PASS</v>
      </c>
      <c r="M3" t="str">
        <f t="shared" ref="M3:M8" si="6">IF(AND(C3&gt;=35,D3&gt;=35,E3&gt;=35),"PASS","FAIL")</f>
        <v>PASS</v>
      </c>
      <c r="N3">
        <v>6005485875</v>
      </c>
      <c r="O3" s="4" t="str">
        <f t="shared" ref="O3:O4" si="7">"*"&amp;N3&amp;"*"</f>
        <v>*6005485875*</v>
      </c>
    </row>
    <row r="4" spans="1:16">
      <c r="A4">
        <v>3</v>
      </c>
      <c r="B4" t="s">
        <v>8</v>
      </c>
      <c r="C4">
        <v>45</v>
      </c>
      <c r="D4">
        <v>3</v>
      </c>
      <c r="E4">
        <v>36</v>
      </c>
      <c r="F4">
        <f t="shared" si="0"/>
        <v>84</v>
      </c>
      <c r="G4">
        <f t="shared" si="1"/>
        <v>3</v>
      </c>
      <c r="H4" s="2">
        <f t="shared" si="2"/>
        <v>28</v>
      </c>
      <c r="I4">
        <f t="shared" ref="I4:I8" si="8">MIN(C4:E4)</f>
        <v>3</v>
      </c>
      <c r="J4">
        <f t="shared" si="3"/>
        <v>45</v>
      </c>
      <c r="K4" s="1">
        <f t="shared" si="4"/>
        <v>28.000000000000004</v>
      </c>
      <c r="L4" t="str">
        <f t="shared" si="5"/>
        <v>FAIL</v>
      </c>
      <c r="M4" t="str">
        <f t="shared" si="6"/>
        <v>FAIL</v>
      </c>
      <c r="N4">
        <v>6005485875</v>
      </c>
      <c r="O4" s="4" t="str">
        <f t="shared" si="7"/>
        <v>*6005485875*</v>
      </c>
    </row>
    <row r="5" spans="1:16">
      <c r="A5">
        <v>4</v>
      </c>
      <c r="B5" t="s">
        <v>9</v>
      </c>
      <c r="C5">
        <v>19</v>
      </c>
      <c r="D5">
        <v>59</v>
      </c>
      <c r="E5">
        <v>76</v>
      </c>
      <c r="F5">
        <f t="shared" si="0"/>
        <v>154</v>
      </c>
      <c r="G5">
        <f t="shared" si="1"/>
        <v>3</v>
      </c>
      <c r="H5" s="2">
        <f t="shared" si="2"/>
        <v>51.333333333333336</v>
      </c>
      <c r="I5">
        <f t="shared" si="8"/>
        <v>19</v>
      </c>
      <c r="J5">
        <f t="shared" si="3"/>
        <v>76</v>
      </c>
      <c r="K5" s="1">
        <f t="shared" si="4"/>
        <v>51.333333333333329</v>
      </c>
      <c r="L5" t="str">
        <f t="shared" si="5"/>
        <v>FAIL</v>
      </c>
      <c r="M5" t="str">
        <f t="shared" si="6"/>
        <v>FAIL</v>
      </c>
    </row>
    <row r="6" spans="1:16">
      <c r="A6">
        <v>5</v>
      </c>
      <c r="B6" t="s">
        <v>10</v>
      </c>
      <c r="C6">
        <v>86</v>
      </c>
      <c r="D6">
        <v>47</v>
      </c>
      <c r="E6">
        <v>40</v>
      </c>
      <c r="F6">
        <f t="shared" si="0"/>
        <v>173</v>
      </c>
      <c r="G6">
        <f t="shared" si="1"/>
        <v>3</v>
      </c>
      <c r="H6" s="2">
        <f t="shared" si="2"/>
        <v>57.666666666666664</v>
      </c>
      <c r="I6">
        <f t="shared" si="8"/>
        <v>40</v>
      </c>
      <c r="J6">
        <f t="shared" si="3"/>
        <v>86</v>
      </c>
      <c r="K6" s="1">
        <f t="shared" si="4"/>
        <v>57.666666666666664</v>
      </c>
      <c r="L6" t="str">
        <f t="shared" si="5"/>
        <v>PASS</v>
      </c>
      <c r="M6" t="str">
        <f t="shared" si="6"/>
        <v>PASS</v>
      </c>
      <c r="P6" s="3"/>
    </row>
    <row r="7" spans="1:16">
      <c r="A7">
        <v>6</v>
      </c>
      <c r="B7" t="s">
        <v>11</v>
      </c>
      <c r="C7">
        <v>74</v>
      </c>
      <c r="D7">
        <v>72</v>
      </c>
      <c r="E7">
        <v>22</v>
      </c>
      <c r="F7">
        <f t="shared" si="0"/>
        <v>168</v>
      </c>
      <c r="G7">
        <f t="shared" si="1"/>
        <v>3</v>
      </c>
      <c r="H7" s="2">
        <f t="shared" si="2"/>
        <v>56</v>
      </c>
      <c r="I7">
        <f t="shared" si="8"/>
        <v>22</v>
      </c>
      <c r="J7">
        <f t="shared" si="3"/>
        <v>74</v>
      </c>
      <c r="K7" s="1">
        <f t="shared" si="4"/>
        <v>56.000000000000007</v>
      </c>
      <c r="L7" t="str">
        <f t="shared" si="5"/>
        <v>FAIL</v>
      </c>
      <c r="M7" t="str">
        <f t="shared" si="6"/>
        <v>FAIL</v>
      </c>
    </row>
    <row r="8" spans="1:16">
      <c r="A8">
        <v>7</v>
      </c>
      <c r="B8" t="s">
        <v>12</v>
      </c>
      <c r="C8">
        <v>54</v>
      </c>
      <c r="D8">
        <v>41</v>
      </c>
      <c r="E8">
        <v>63</v>
      </c>
      <c r="F8">
        <f t="shared" si="0"/>
        <v>158</v>
      </c>
      <c r="G8">
        <f t="shared" si="1"/>
        <v>3</v>
      </c>
      <c r="H8" s="2">
        <f t="shared" si="2"/>
        <v>52.666666666666664</v>
      </c>
      <c r="I8">
        <f t="shared" si="8"/>
        <v>41</v>
      </c>
      <c r="J8">
        <f t="shared" si="3"/>
        <v>63</v>
      </c>
      <c r="K8" s="1">
        <f t="shared" si="4"/>
        <v>52.666666666666664</v>
      </c>
      <c r="L8" t="str">
        <f t="shared" si="5"/>
        <v>PASS</v>
      </c>
      <c r="M8" t="str">
        <f t="shared" si="6"/>
        <v>PASS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A8C1-4900-49E8-BEB5-73232B8DAC4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 Patil</dc:creator>
  <cp:lastModifiedBy>Bhagyashree Patil</cp:lastModifiedBy>
  <dcterms:created xsi:type="dcterms:W3CDTF">2025-07-05T07:35:56Z</dcterms:created>
  <dcterms:modified xsi:type="dcterms:W3CDTF">2025-07-07T07:41:18Z</dcterms:modified>
</cp:coreProperties>
</file>